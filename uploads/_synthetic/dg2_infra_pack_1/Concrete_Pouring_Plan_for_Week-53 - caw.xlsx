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gda.sharepoint.com/sites/DG2-InfrastructurePackage1/Shared Documents/DG2 Infra Pack 1/Misc/"/>
    </mc:Choice>
  </mc:AlternateContent>
  <xr:revisionPtr revIDLastSave="2" documentId="8_{ED5B8773-21F6-4482-94D1-66FF52595F7D}" xr6:coauthVersionLast="47" xr6:coauthVersionMax="47" xr10:uidLastSave="{30B1B696-4C7C-4722-9E0B-32D24BB6D622}"/>
  <bookViews>
    <workbookView xWindow="-110" yWindow="-110" windowWidth="19420" windowHeight="11620" xr2:uid="{67686951-6F09-45B0-9FCF-9DB12D0A03B5}"/>
  </bookViews>
  <sheets>
    <sheet name="Actual For Week 52" sheetId="5" r:id="rId1"/>
    <sheet name="Plan For Week 53" sheetId="2" r:id="rId2"/>
  </sheets>
  <definedNames>
    <definedName name="_xlnm.Print_Area" localSheetId="0">'Actual For Week 52'!$A$1:$V$22</definedName>
    <definedName name="_xlnm.Print_Area" localSheetId="1">'Plan For Week 53'!$A$1:$V$34</definedName>
    <definedName name="_xlnm.Print_Titles" localSheetId="0">'Actual For Week 52'!$1:$6</definedName>
    <definedName name="_xlnm.Print_Titles" localSheetId="1">'Plan For Week 53'!$1:$6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2" l="1"/>
  <c r="P15" i="2"/>
  <c r="P16" i="2" s="1"/>
  <c r="P17" i="2" s="1"/>
  <c r="S13" i="5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12" i="5"/>
  <c r="P13" i="5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11" i="5"/>
  <c r="P12" i="5" s="1"/>
  <c r="P11" i="2"/>
  <c r="P12" i="2" s="1"/>
  <c r="P13" i="2" s="1"/>
</calcChain>
</file>

<file path=xl/sharedStrings.xml><?xml version="1.0" encoding="utf-8"?>
<sst xmlns="http://schemas.openxmlformats.org/spreadsheetml/2006/main" count="242" uniqueCount="102">
  <si>
    <t>Projects Name:</t>
  </si>
  <si>
    <t xml:space="preserve">DG II - INFRA PACKAGE - 1  </t>
  </si>
  <si>
    <t>Projects no:</t>
  </si>
  <si>
    <t xml:space="preserve"> DD-2023-118 </t>
  </si>
  <si>
    <t>Weekly concrete schedule</t>
  </si>
  <si>
    <t xml:space="preserve">Period </t>
  </si>
  <si>
    <t>SN</t>
  </si>
  <si>
    <t>Saturday</t>
  </si>
  <si>
    <t>Sunday</t>
  </si>
  <si>
    <t>Monday</t>
  </si>
  <si>
    <t>Tuesday</t>
  </si>
  <si>
    <t>Wednesday</t>
  </si>
  <si>
    <t>Thursday</t>
  </si>
  <si>
    <t>Location</t>
  </si>
  <si>
    <t>Area</t>
  </si>
  <si>
    <t>Station</t>
  </si>
  <si>
    <t>Concrete    Element</t>
  </si>
  <si>
    <t>Class</t>
  </si>
  <si>
    <t>Remarks</t>
  </si>
  <si>
    <t xml:space="preserve">Supplier </t>
  </si>
  <si>
    <t>Discipline</t>
  </si>
  <si>
    <t>Week No.</t>
  </si>
  <si>
    <t>UBCC</t>
  </si>
  <si>
    <t>SW-Storm water</t>
  </si>
  <si>
    <t>C-21 SRC</t>
  </si>
  <si>
    <r>
      <t>Qty (m</t>
    </r>
    <r>
      <rPr>
        <b/>
        <sz val="13"/>
        <color rgb="FF002060"/>
        <rFont val="Calibri"/>
        <family val="2"/>
      </rPr>
      <t>³)</t>
    </r>
  </si>
  <si>
    <t>Cumulative Qty (m³)</t>
  </si>
  <si>
    <t>Weekly Planed qty</t>
  </si>
  <si>
    <t>Actual Pouring Qty</t>
  </si>
  <si>
    <t>Date of Pouring</t>
  </si>
  <si>
    <t>Road/Structure Name</t>
  </si>
  <si>
    <t>SG-sewer water</t>
  </si>
  <si>
    <t>1c-Boulevard
North-west</t>
  </si>
  <si>
    <t>PWPS-01</t>
  </si>
  <si>
    <t>1d-Northern West</t>
  </si>
  <si>
    <t>Area civic quarter 1b.</t>
  </si>
  <si>
    <t>1a-Media</t>
  </si>
  <si>
    <t>Civil</t>
  </si>
  <si>
    <t>C-21  SRC</t>
  </si>
  <si>
    <t>AL_PR_R_00_11</t>
  </si>
  <si>
    <t>OPC C-35 GGBS 65%</t>
  </si>
  <si>
    <t>Pump Room</t>
  </si>
  <si>
    <t>Concrete Collar(11 Manholes)</t>
  </si>
  <si>
    <t>C-25 OPC</t>
  </si>
  <si>
    <t>AL_PR_R_00_3</t>
  </si>
  <si>
    <t>Manhole Blinding (10 manholes)</t>
  </si>
  <si>
    <t>MH-18, MH-17, MH-5-19, MH-5-18, MH-5-17, MH-5-16, MH-5-15, MH-5-14, MH-5-13,MH-9</t>
  </si>
  <si>
    <t>4th jan to 9th jan 2025</t>
  </si>
  <si>
    <t>Pump room wall(upto 1.2m H)</t>
  </si>
  <si>
    <t>1e-North Center</t>
  </si>
  <si>
    <t>PWPS-02</t>
  </si>
  <si>
    <t>Reservior</t>
  </si>
  <si>
    <t>Reservior Blinding</t>
  </si>
  <si>
    <t>C21-OPC</t>
  </si>
  <si>
    <t>Medai 1a</t>
  </si>
  <si>
    <t>Road-03</t>
  </si>
  <si>
    <t xml:space="preserve">MH-39-11-6-5 </t>
  </si>
  <si>
    <t>Manhole Blinding                         (1 manholes)</t>
  </si>
  <si>
    <t>Raiser KI-787,KI-799</t>
  </si>
  <si>
    <t>Kerb Inlet</t>
  </si>
  <si>
    <t>Road-11</t>
  </si>
  <si>
    <t>MH-3,MH-4 ,MH-5,MH-6</t>
  </si>
  <si>
    <t>MH 3-15</t>
  </si>
  <si>
    <t>Benching</t>
  </si>
  <si>
    <t>MH 31,MH 32,MH 33</t>
  </si>
  <si>
    <t>SG-Sewer</t>
  </si>
  <si>
    <t>Manhole Blinding  (3 manholes)</t>
  </si>
  <si>
    <t xml:space="preserve">MH 36,SDC 1 </t>
  </si>
  <si>
    <t>Manhole Blinding  (2 manholes)</t>
  </si>
  <si>
    <t>KI 613,CB 232,Ki 515,KI 188,KI 114 ,KI 316</t>
  </si>
  <si>
    <t>MH 10,MH 9,MH 8</t>
  </si>
  <si>
    <t>KI 715,KI 703</t>
  </si>
  <si>
    <t>1c-Boulevard North West</t>
  </si>
  <si>
    <t>MH 8</t>
  </si>
  <si>
    <t>Manhole Blinding  (1 manholes)</t>
  </si>
  <si>
    <t>Week 52</t>
  </si>
  <si>
    <t xml:space="preserve">MH-33 DONE </t>
  </si>
  <si>
    <t>KI114, KI316, CB232</t>
  </si>
  <si>
    <t>Road-05</t>
  </si>
  <si>
    <t>MH 11,MH 12,MH-13, MH-14, MH-15 </t>
  </si>
  <si>
    <t xml:space="preserve">  CONCRETE COLLAR  (5 manholes)</t>
  </si>
  <si>
    <t>C-35  SRC</t>
  </si>
  <si>
    <t>MH3, MH-5, MH-6</t>
  </si>
  <si>
    <t xml:space="preserve">  CONCRETE COLLAR  (3 manholes)</t>
  </si>
  <si>
    <t>MH-12, MH-15, MH-16, MH-17, MH-18, MH-19</t>
  </si>
  <si>
    <t xml:space="preserve">  CONCRETE COLLAR  ( 6manholes)</t>
  </si>
  <si>
    <t>MH 11,MH 12,MH-13, MH-14,  </t>
  </si>
  <si>
    <t>MH-3-2, MH-3-3, MH-3-4, MH-3-5, MH-3-6,MH-3-7, MH-3-8, MH-3-9, MH-3-10, MH-3-11, MH-3-12,</t>
  </si>
  <si>
    <t>KI 613,Ki 515,KI 188</t>
  </si>
  <si>
    <t>MH-13, MH-11, MH-20, MH-21, MH-22</t>
  </si>
  <si>
    <t>Concrete Collar(5 Manholes)</t>
  </si>
  <si>
    <t xml:space="preserve">MH-12, MH-11,MH-16, MH-19, MH-20, MH-21, </t>
  </si>
  <si>
    <t>Benching Concrete                      (6 Manholes)</t>
  </si>
  <si>
    <t>C-35 SRC</t>
  </si>
  <si>
    <t>Reservoir wall STW-5,STW-1</t>
  </si>
  <si>
    <t>Reservoir</t>
  </si>
  <si>
    <t>07-01-2025 &amp; 09-01-2025</t>
  </si>
  <si>
    <t>C20-SRC</t>
  </si>
  <si>
    <t>Reservior Screed</t>
  </si>
  <si>
    <t>Reservior &amp; pump room Blinding</t>
  </si>
  <si>
    <t>Week 53</t>
  </si>
  <si>
    <t>11th jan to 16 jan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</si>
</sst>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rgb="FF00206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rgb="FF002060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0"/>
      <color rgb="FF002060"/>
      <name val="Aptos Narrow"/>
      <family val="2"/>
      <scheme val="minor"/>
    </font>
    <font>
      <b/>
      <sz val="13"/>
      <color rgb="FF002060"/>
      <name val="Calibri"/>
      <family val="2"/>
    </font>
    <font>
      <sz val="12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0" fillId="0" borderId="0" xfId="0" applyAlignment="1">
      <alignment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6" fillId="4" borderId="2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2" fontId="3" fillId="0" borderId="16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vertical="center" textRotation="90" wrapText="1"/>
    </xf>
    <xf numFmtId="0" fontId="0" fillId="0" borderId="10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textRotation="90" wrapText="1"/>
    </xf>
    <xf numFmtId="2" fontId="3" fillId="0" borderId="14" xfId="0" applyNumberFormat="1" applyFont="1" applyBorder="1" applyAlignment="1">
      <alignment horizontal="center" vertical="center"/>
    </xf>
    <xf numFmtId="14" fontId="3" fillId="0" borderId="33" xfId="0" applyNumberFormat="1" applyFont="1" applyBorder="1" applyAlignment="1">
      <alignment horizontal="center" vertical="center"/>
    </xf>
    <xf numFmtId="0" fontId="0" fillId="0" borderId="8" xfId="0" applyBorder="1"/>
    <xf numFmtId="0" fontId="8" fillId="6" borderId="8" xfId="0" applyFont="1" applyFill="1" applyBorder="1" applyAlignment="1">
      <alignment vertical="center" textRotation="90" wrapText="1"/>
    </xf>
    <xf numFmtId="0" fontId="3" fillId="2" borderId="17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vertical="center" textRotation="90" wrapText="1"/>
    </xf>
    <xf numFmtId="0" fontId="3" fillId="2" borderId="11" xfId="0" applyFont="1" applyFill="1" applyBorder="1" applyAlignment="1">
      <alignment horizontal="center" vertical="center"/>
    </xf>
    <xf numFmtId="0" fontId="0" fillId="2" borderId="8" xfId="0" applyFill="1" applyBorder="1"/>
    <xf numFmtId="0" fontId="8" fillId="2" borderId="28" xfId="0" applyFont="1" applyFill="1" applyBorder="1" applyAlignment="1">
      <alignment vertical="center" textRotation="90" wrapText="1"/>
    </xf>
    <xf numFmtId="0" fontId="3" fillId="5" borderId="8" xfId="0" applyFont="1" applyFill="1" applyBorder="1" applyAlignment="1">
      <alignment horizontal="center" vertical="center"/>
    </xf>
    <xf numFmtId="14" fontId="3" fillId="0" borderId="32" xfId="0" applyNumberFormat="1" applyFont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0" fillId="9" borderId="8" xfId="0" applyFill="1" applyBorder="1"/>
    <xf numFmtId="14" fontId="0" fillId="0" borderId="8" xfId="0" applyNumberFormat="1" applyBorder="1" applyAlignment="1">
      <alignment horizontal="center" vertical="center"/>
    </xf>
    <xf numFmtId="0" fontId="0" fillId="5" borderId="8" xfId="0" applyFill="1" applyBorder="1"/>
    <xf numFmtId="0" fontId="8" fillId="7" borderId="8" xfId="0" applyFont="1" applyFill="1" applyBorder="1" applyAlignment="1">
      <alignment vertical="center" textRotation="90" wrapText="1"/>
    </xf>
    <xf numFmtId="0" fontId="8" fillId="8" borderId="8" xfId="0" applyFont="1" applyFill="1" applyBorder="1" applyAlignment="1">
      <alignment vertical="center" textRotation="90" wrapText="1"/>
    </xf>
    <xf numFmtId="0" fontId="8" fillId="8" borderId="28" xfId="0" applyFont="1" applyFill="1" applyBorder="1" applyAlignment="1">
      <alignment vertical="center" textRotation="90" wrapText="1"/>
    </xf>
    <xf numFmtId="0" fontId="8" fillId="5" borderId="8" xfId="0" applyFont="1" applyFill="1" applyBorder="1" applyAlignment="1">
      <alignment vertical="center" textRotation="90" wrapText="1"/>
    </xf>
    <xf numFmtId="14" fontId="0" fillId="0" borderId="8" xfId="0" applyNumberFormat="1" applyBorder="1" applyAlignment="1">
      <alignment horizontal="center" vertical="center" wrapText="1"/>
    </xf>
    <xf numFmtId="2" fontId="3" fillId="2" borderId="16" xfId="0" applyNumberFormat="1" applyFont="1" applyFill="1" applyBorder="1" applyAlignment="1">
      <alignment horizontal="center" vertical="center"/>
    </xf>
    <xf numFmtId="14" fontId="3" fillId="2" borderId="16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2" fontId="3" fillId="2" borderId="8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 textRotation="90" wrapText="1"/>
    </xf>
    <xf numFmtId="0" fontId="8" fillId="6" borderId="14" xfId="0" applyFont="1" applyFill="1" applyBorder="1" applyAlignment="1">
      <alignment horizontal="center" vertical="center" textRotation="90" wrapText="1"/>
    </xf>
    <xf numFmtId="0" fontId="8" fillId="5" borderId="14" xfId="0" applyFont="1" applyFill="1" applyBorder="1" applyAlignment="1">
      <alignment horizontal="center" vertical="center" textRotation="90" wrapText="1"/>
    </xf>
    <xf numFmtId="0" fontId="8" fillId="5" borderId="8" xfId="0" applyFont="1" applyFill="1" applyBorder="1" applyAlignment="1">
      <alignment horizontal="center" vertical="center" textRotation="90" wrapText="1"/>
    </xf>
    <xf numFmtId="0" fontId="8" fillId="5" borderId="28" xfId="0" applyFont="1" applyFill="1" applyBorder="1" applyAlignment="1">
      <alignment horizontal="center" vertical="center" textRotation="90" wrapText="1"/>
    </xf>
    <xf numFmtId="0" fontId="4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textRotation="90" wrapText="1"/>
    </xf>
    <xf numFmtId="0" fontId="6" fillId="4" borderId="27" xfId="0" applyFont="1" applyFill="1" applyBorder="1" applyAlignment="1">
      <alignment horizontal="center" vertical="center" textRotation="90" wrapText="1"/>
    </xf>
    <xf numFmtId="0" fontId="8" fillId="6" borderId="8" xfId="0" applyFont="1" applyFill="1" applyBorder="1" applyAlignment="1">
      <alignment horizontal="center" vertical="center" textRotation="90" wrapText="1"/>
    </xf>
    <xf numFmtId="0" fontId="8" fillId="6" borderId="28" xfId="0" applyFont="1" applyFill="1" applyBorder="1" applyAlignment="1">
      <alignment horizontal="center" vertical="center" textRotation="90" wrapText="1"/>
    </xf>
    <xf numFmtId="0" fontId="8" fillId="7" borderId="8" xfId="0" applyFont="1" applyFill="1" applyBorder="1" applyAlignment="1">
      <alignment horizontal="center" vertical="center" textRotation="90" wrapText="1"/>
    </xf>
    <xf numFmtId="0" fontId="8" fillId="7" borderId="28" xfId="0" applyFont="1" applyFill="1" applyBorder="1" applyAlignment="1">
      <alignment horizontal="center" vertical="center" textRotation="90" wrapText="1"/>
    </xf>
    <xf numFmtId="0" fontId="8" fillId="10" borderId="8" xfId="0" applyFont="1" applyFill="1" applyBorder="1" applyAlignment="1">
      <alignment horizontal="center" vertical="center" textRotation="90" wrapText="1"/>
    </xf>
    <xf numFmtId="0" fontId="8" fillId="10" borderId="28" xfId="0" applyFont="1" applyFill="1" applyBorder="1" applyAlignment="1">
      <alignment horizontal="center" vertical="center" textRotation="90" wrapText="1"/>
    </xf>
    <xf numFmtId="0" fontId="8" fillId="8" borderId="8" xfId="0" applyFont="1" applyFill="1" applyBorder="1" applyAlignment="1">
      <alignment horizontal="center" vertical="center" textRotation="90" wrapText="1"/>
    </xf>
    <xf numFmtId="0" fontId="8" fillId="8" borderId="28" xfId="0" applyFont="1" applyFill="1" applyBorder="1" applyAlignment="1">
      <alignment horizontal="center" vertical="center" textRotation="90" wrapText="1"/>
    </xf>
    <xf numFmtId="0" fontId="8" fillId="9" borderId="8" xfId="0" applyFont="1" applyFill="1" applyBorder="1" applyAlignment="1">
      <alignment horizontal="center" vertical="center" textRotation="90" wrapText="1"/>
    </xf>
    <xf numFmtId="0" fontId="8" fillId="9" borderId="28" xfId="0" applyFont="1" applyFill="1" applyBorder="1" applyAlignment="1">
      <alignment horizontal="center" vertical="center" textRotation="90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2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28" xfId="0" applyFont="1" applyFill="1" applyBorder="1" applyAlignment="1">
      <alignment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2" fontId="3" fillId="11" borderId="16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C082AB9B-21D1-4A76-AEE3-2CDF628AB8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59635</xdr:colOff>
      <xdr:row>0</xdr:row>
      <xdr:rowOff>84633</xdr:rowOff>
    </xdr:from>
    <xdr:to>
      <xdr:col>20</xdr:col>
      <xdr:colOff>1389325</xdr:colOff>
      <xdr:row>1</xdr:row>
      <xdr:rowOff>568503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97501A09-DE25-45DC-B644-EF0CA51A8439}"/>
            </a:ext>
          </a:extLst>
        </xdr:cNvPr>
        <xdr:cNvSpPr/>
      </xdr:nvSpPr>
      <xdr:spPr>
        <a:xfrm>
          <a:off x="59635" y="84633"/>
          <a:ext cx="19579590" cy="75057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133350</xdr:colOff>
      <xdr:row>0</xdr:row>
      <xdr:rowOff>85725</xdr:rowOff>
    </xdr:from>
    <xdr:to>
      <xdr:col>19</xdr:col>
      <xdr:colOff>136526</xdr:colOff>
      <xdr:row>1</xdr:row>
      <xdr:rowOff>552450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6583005-96D3-4BBA-8CCA-D151B0680C4C}"/>
            </a:ext>
          </a:extLst>
        </xdr:cNvPr>
        <xdr:cNvCxnSpPr/>
      </xdr:nvCxnSpPr>
      <xdr:spPr>
        <a:xfrm flipH="1">
          <a:off x="17369790" y="85725"/>
          <a:ext cx="3176" cy="733425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1181100</xdr:colOff>
      <xdr:row>0</xdr:row>
      <xdr:rowOff>76200</xdr:rowOff>
    </xdr:from>
    <xdr:to>
      <xdr:col>11</xdr:col>
      <xdr:colOff>1200150</xdr:colOff>
      <xdr:row>1</xdr:row>
      <xdr:rowOff>571500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F578241-F3A7-413C-851D-B8D0693A7200}"/>
            </a:ext>
          </a:extLst>
        </xdr:cNvPr>
        <xdr:cNvCxnSpPr/>
      </xdr:nvCxnSpPr>
      <xdr:spPr>
        <a:xfrm flipH="1">
          <a:off x="10294620" y="76200"/>
          <a:ext cx="19050" cy="762000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465819</xdr:colOff>
      <xdr:row>0</xdr:row>
      <xdr:rowOff>77561</xdr:rowOff>
    </xdr:from>
    <xdr:to>
      <xdr:col>8</xdr:col>
      <xdr:colOff>465819</xdr:colOff>
      <xdr:row>1</xdr:row>
      <xdr:rowOff>572861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773715E-6A2A-404A-BC67-5F15B927E114}"/>
            </a:ext>
          </a:extLst>
        </xdr:cNvPr>
        <xdr:cNvCxnSpPr/>
      </xdr:nvCxnSpPr>
      <xdr:spPr>
        <a:xfrm>
          <a:off x="3879579" y="77561"/>
          <a:ext cx="0" cy="762000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34017</xdr:colOff>
      <xdr:row>0</xdr:row>
      <xdr:rowOff>104775</xdr:rowOff>
    </xdr:from>
    <xdr:to>
      <xdr:col>7</xdr:col>
      <xdr:colOff>326026</xdr:colOff>
      <xdr:row>1</xdr:row>
      <xdr:rowOff>548640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118D147-F061-4815-B3E0-F7D4A70F98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4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517" y="104775"/>
          <a:ext cx="825409" cy="710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532040</xdr:colOff>
      <xdr:row>1</xdr:row>
      <xdr:rowOff>0</xdr:rowOff>
    </xdr:from>
    <xdr:to>
      <xdr:col>9</xdr:col>
      <xdr:colOff>1910896</xdr:colOff>
      <xdr:row>1</xdr:row>
      <xdr:rowOff>362399</xdr:rowOff>
    </xdr:to>
    <xdr:pic>
      <xdr:nvPicPr>
        <xdr:cNvPr id="7" name="Picture 6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E89905F8-4AD0-4C62-944A-7731C5A74515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6440" y="266700"/>
          <a:ext cx="1378856" cy="3623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379639</xdr:colOff>
      <xdr:row>0</xdr:row>
      <xdr:rowOff>142875</xdr:rowOff>
    </xdr:from>
    <xdr:to>
      <xdr:col>20</xdr:col>
      <xdr:colOff>896165</xdr:colOff>
      <xdr:row>1</xdr:row>
      <xdr:rowOff>475615</xdr:rowOff>
    </xdr:to>
    <xdr:pic>
      <xdr:nvPicPr>
        <xdr:cNvPr id="8" name="Picture 7" descr="Screen Clipping">
          <a:extLst>
            <a:ext uri="{FF2B5EF4-FFF2-40B4-BE49-F238E27FC236}">
              <a16:creationId xmlns:a16="http://schemas.microsoft.com/office/drawing/2014/main" id="{887E2D67-E322-417A-AE0B-1E6505D13CB8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281" b="2126"/>
        <a:stretch>
          <a:fillRect/>
        </a:stretch>
      </xdr:blipFill>
      <xdr:spPr bwMode="auto">
        <a:xfrm>
          <a:off x="17616079" y="142875"/>
          <a:ext cx="1529986" cy="59944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17</xdr:col>
      <xdr:colOff>195696</xdr:colOff>
      <xdr:row>0</xdr:row>
      <xdr:rowOff>242283</xdr:rowOff>
    </xdr:from>
    <xdr:ext cx="1421083" cy="418828"/>
    <xdr:pic>
      <xdr:nvPicPr>
        <xdr:cNvPr id="9" name="Picture 8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9AF41D83-4D94-4817-943C-8FCEC4D2B773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96656" y="242283"/>
          <a:ext cx="1421083" cy="41882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59635</xdr:colOff>
      <xdr:row>0</xdr:row>
      <xdr:rowOff>84633</xdr:rowOff>
    </xdr:from>
    <xdr:to>
      <xdr:col>20</xdr:col>
      <xdr:colOff>1389325</xdr:colOff>
      <xdr:row>1</xdr:row>
      <xdr:rowOff>568503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DF3BE291-8E31-4F0C-853F-CA654EBE6E6C}"/>
            </a:ext>
          </a:extLst>
        </xdr:cNvPr>
        <xdr:cNvSpPr/>
      </xdr:nvSpPr>
      <xdr:spPr>
        <a:xfrm>
          <a:off x="59635" y="84633"/>
          <a:ext cx="15944850" cy="750570"/>
        </a:xfrm>
        <a:prstGeom prst="round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133350</xdr:colOff>
      <xdr:row>0</xdr:row>
      <xdr:rowOff>85725</xdr:rowOff>
    </xdr:from>
    <xdr:to>
      <xdr:col>19</xdr:col>
      <xdr:colOff>136526</xdr:colOff>
      <xdr:row>1</xdr:row>
      <xdr:rowOff>552450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E46D8A-B9D0-4E47-AF39-7AB5659EC77A}"/>
            </a:ext>
          </a:extLst>
        </xdr:cNvPr>
        <xdr:cNvCxnSpPr/>
      </xdr:nvCxnSpPr>
      <xdr:spPr>
        <a:xfrm flipH="1">
          <a:off x="13735050" y="85725"/>
          <a:ext cx="3176" cy="733425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1181100</xdr:colOff>
      <xdr:row>0</xdr:row>
      <xdr:rowOff>76200</xdr:rowOff>
    </xdr:from>
    <xdr:to>
      <xdr:col>11</xdr:col>
      <xdr:colOff>1200150</xdr:colOff>
      <xdr:row>1</xdr:row>
      <xdr:rowOff>571500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4CAC061-E7DA-4C09-91D2-C7494C65553D}"/>
            </a:ext>
          </a:extLst>
        </xdr:cNvPr>
        <xdr:cNvCxnSpPr/>
      </xdr:nvCxnSpPr>
      <xdr:spPr>
        <a:xfrm flipH="1">
          <a:off x="7520940" y="76200"/>
          <a:ext cx="0" cy="762000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465819</xdr:colOff>
      <xdr:row>0</xdr:row>
      <xdr:rowOff>77561</xdr:rowOff>
    </xdr:from>
    <xdr:to>
      <xdr:col>8</xdr:col>
      <xdr:colOff>465819</xdr:colOff>
      <xdr:row>1</xdr:row>
      <xdr:rowOff>572861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F5383BA-C9DD-4878-8AFF-17464710C01E}"/>
            </a:ext>
          </a:extLst>
        </xdr:cNvPr>
        <xdr:cNvCxnSpPr/>
      </xdr:nvCxnSpPr>
      <xdr:spPr>
        <a:xfrm>
          <a:off x="3277599" y="77561"/>
          <a:ext cx="0" cy="762000"/>
        </a:xfrm>
        <a:prstGeom prst="line">
          <a:avLst/>
        </a:prstGeom>
        <a:ln w="190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34017</xdr:colOff>
      <xdr:row>0</xdr:row>
      <xdr:rowOff>104775</xdr:rowOff>
    </xdr:from>
    <xdr:to>
      <xdr:col>7</xdr:col>
      <xdr:colOff>326026</xdr:colOff>
      <xdr:row>1</xdr:row>
      <xdr:rowOff>548640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9FCEFE-F3D0-4BEE-BFFA-2E3E3601136E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-40000" contrast="-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517" y="104775"/>
          <a:ext cx="825409" cy="7105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532040</xdr:colOff>
      <xdr:row>1</xdr:row>
      <xdr:rowOff>0</xdr:rowOff>
    </xdr:from>
    <xdr:to>
      <xdr:col>9</xdr:col>
      <xdr:colOff>1910896</xdr:colOff>
      <xdr:row>1</xdr:row>
      <xdr:rowOff>362399</xdr:rowOff>
    </xdr:to>
    <xdr:pic>
      <xdr:nvPicPr>
        <xdr:cNvPr id="7" name="Picture 6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6FC849C8-BF63-4115-977E-56157A5BA56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2540" y="266700"/>
          <a:ext cx="1380762" cy="36239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379639</xdr:colOff>
      <xdr:row>0</xdr:row>
      <xdr:rowOff>142875</xdr:rowOff>
    </xdr:from>
    <xdr:to>
      <xdr:col>20</xdr:col>
      <xdr:colOff>896165</xdr:colOff>
      <xdr:row>1</xdr:row>
      <xdr:rowOff>475615</xdr:rowOff>
    </xdr:to>
    <xdr:pic>
      <xdr:nvPicPr>
        <xdr:cNvPr id="8" name="Picture 7" descr="Screen Clipping">
          <a:extLst>
            <a:ext uri="{FF2B5EF4-FFF2-40B4-BE49-F238E27FC236}">
              <a16:creationId xmlns:a16="http://schemas.microsoft.com/office/drawing/2014/main" id="{4299C66C-B838-4002-8DC4-4A66198509BB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281" b="2126"/>
        <a:stretch>
          <a:fillRect/>
        </a:stretch>
      </xdr:blipFill>
      <xdr:spPr bwMode="auto">
        <a:xfrm>
          <a:off x="13981339" y="142875"/>
          <a:ext cx="1529987" cy="59944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17</xdr:col>
      <xdr:colOff>195696</xdr:colOff>
      <xdr:row>0</xdr:row>
      <xdr:rowOff>242283</xdr:rowOff>
    </xdr:from>
    <xdr:ext cx="1421083" cy="418828"/>
    <xdr:pic>
      <xdr:nvPicPr>
        <xdr:cNvPr id="9" name="Picture 8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9C925440-BB45-48DD-95A7-6825114C0275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61916" y="242283"/>
          <a:ext cx="1421083" cy="418828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2925F-9F5D-4D04-B860-0FA9B3A75207}">
  <sheetPr>
    <pageSetUpPr fitToPage="1"/>
  </sheetPr>
  <dimension ref="A1:U28"/>
  <sheetViews>
    <sheetView tabSelected="1" topLeftCell="J11" zoomScale="70" zoomScaleNormal="70" zoomScaleSheetLayoutView="85" workbookViewId="0">
      <selection activeCell="N15" sqref="N15"/>
    </sheetView>
  </sheetViews>
  <sheetFormatPr defaultRowHeight="14.5" x14ac:dyDescent="0.35"/>
  <cols>
    <col min="1" max="1" width="3.90625" bestFit="1" customWidth="1"/>
    <col min="2" max="7" width="3.90625" customWidth="1"/>
    <col min="8" max="8" width="27.08984375" customWidth="1"/>
    <col min="9" max="9" width="19.08984375" customWidth="1"/>
    <col min="10" max="10" width="35.81640625" customWidth="1"/>
    <col min="11" max="11" width="28.1796875" customWidth="1"/>
    <col min="12" max="12" width="18.90625" customWidth="1"/>
    <col min="13" max="13" width="21.08984375" customWidth="1"/>
    <col min="14" max="14" width="11.08984375" customWidth="1"/>
    <col min="15" max="15" width="10.1796875" customWidth="1"/>
    <col min="16" max="17" width="14.453125" customWidth="1"/>
    <col min="18" max="18" width="13.453125" customWidth="1"/>
    <col min="19" max="20" width="14.81640625" customWidth="1"/>
    <col min="21" max="21" width="27.81640625" customWidth="1"/>
  </cols>
  <sheetData>
    <row r="1" spans="1:21" ht="21" customHeight="1" x14ac:dyDescent="0.3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</row>
    <row r="2" spans="1:21" ht="49.5" customHeight="1" x14ac:dyDescent="0.3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spans="1:21" ht="27" customHeight="1" x14ac:dyDescent="0.35">
      <c r="A3" s="64" t="s">
        <v>0</v>
      </c>
      <c r="B3" s="65"/>
      <c r="C3" s="65"/>
      <c r="D3" s="65"/>
      <c r="E3" s="65"/>
      <c r="F3" s="65"/>
      <c r="G3" s="65"/>
      <c r="H3" s="66"/>
      <c r="I3" s="67" t="s">
        <v>1</v>
      </c>
      <c r="J3" s="68"/>
      <c r="K3" s="68"/>
      <c r="L3" s="69"/>
      <c r="M3" s="65"/>
      <c r="N3" s="65"/>
      <c r="O3" s="65"/>
      <c r="P3" s="65"/>
      <c r="Q3" s="65"/>
      <c r="R3" s="65"/>
      <c r="S3" s="65"/>
      <c r="T3" s="7" t="s">
        <v>21</v>
      </c>
      <c r="U3" s="20" t="s">
        <v>75</v>
      </c>
    </row>
    <row r="4" spans="1:21" ht="28.25" customHeight="1" thickBot="1" x14ac:dyDescent="0.4">
      <c r="A4" s="70" t="s">
        <v>2</v>
      </c>
      <c r="B4" s="71"/>
      <c r="C4" s="71"/>
      <c r="D4" s="71"/>
      <c r="E4" s="71"/>
      <c r="F4" s="71"/>
      <c r="G4" s="71"/>
      <c r="H4" s="72"/>
      <c r="I4" s="67" t="s">
        <v>3</v>
      </c>
      <c r="J4" s="68"/>
      <c r="K4" s="68"/>
      <c r="T4" s="8" t="s">
        <v>5</v>
      </c>
      <c r="U4" s="19" t="s">
        <v>47</v>
      </c>
    </row>
    <row r="5" spans="1:21" ht="31.25" customHeight="1" x14ac:dyDescent="0.35">
      <c r="A5" s="73" t="s">
        <v>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5"/>
    </row>
    <row r="6" spans="1:21" s="1" customFormat="1" ht="18" customHeight="1" x14ac:dyDescent="0.35">
      <c r="A6" s="76" t="s">
        <v>6</v>
      </c>
      <c r="B6" s="78" t="s">
        <v>7</v>
      </c>
      <c r="C6" s="80" t="s">
        <v>8</v>
      </c>
      <c r="D6" s="82" t="s">
        <v>9</v>
      </c>
      <c r="E6" s="84" t="s">
        <v>10</v>
      </c>
      <c r="F6" s="62" t="s">
        <v>11</v>
      </c>
      <c r="G6" s="86" t="s">
        <v>12</v>
      </c>
      <c r="H6" s="88" t="s">
        <v>13</v>
      </c>
      <c r="I6" s="88"/>
      <c r="J6" s="88"/>
      <c r="K6" s="88" t="s">
        <v>16</v>
      </c>
      <c r="L6" s="90" t="s">
        <v>20</v>
      </c>
      <c r="M6" s="92" t="s">
        <v>17</v>
      </c>
      <c r="N6" s="92" t="s">
        <v>19</v>
      </c>
      <c r="O6" s="95"/>
      <c r="P6" s="95"/>
      <c r="Q6" s="95"/>
      <c r="R6" s="95"/>
      <c r="S6" s="95"/>
      <c r="T6" s="88" t="s">
        <v>18</v>
      </c>
      <c r="U6" s="102"/>
    </row>
    <row r="7" spans="1:21" s="1" customFormat="1" ht="17" x14ac:dyDescent="0.35">
      <c r="A7" s="76"/>
      <c r="B7" s="78"/>
      <c r="C7" s="80"/>
      <c r="D7" s="82"/>
      <c r="E7" s="84"/>
      <c r="F7" s="62"/>
      <c r="G7" s="86"/>
      <c r="H7" s="88" t="s">
        <v>14</v>
      </c>
      <c r="I7" s="88" t="s">
        <v>30</v>
      </c>
      <c r="J7" s="88" t="s">
        <v>15</v>
      </c>
      <c r="K7" s="88"/>
      <c r="L7" s="90"/>
      <c r="M7" s="93"/>
      <c r="N7" s="93"/>
      <c r="O7" s="88"/>
      <c r="P7" s="88"/>
      <c r="Q7" s="88"/>
      <c r="R7" s="88"/>
      <c r="S7" s="88"/>
      <c r="T7" s="88"/>
      <c r="U7" s="102"/>
    </row>
    <row r="8" spans="1:21" s="1" customFormat="1" ht="25.75" customHeight="1" x14ac:dyDescent="0.35">
      <c r="A8" s="76"/>
      <c r="B8" s="78"/>
      <c r="C8" s="80"/>
      <c r="D8" s="82"/>
      <c r="E8" s="84"/>
      <c r="F8" s="62"/>
      <c r="G8" s="86"/>
      <c r="H8" s="88"/>
      <c r="I8" s="88"/>
      <c r="J8" s="88"/>
      <c r="K8" s="88"/>
      <c r="L8" s="90"/>
      <c r="M8" s="93"/>
      <c r="N8" s="93"/>
      <c r="O8" s="95" t="s">
        <v>27</v>
      </c>
      <c r="P8" s="96"/>
      <c r="Q8" s="97" t="s">
        <v>28</v>
      </c>
      <c r="R8" s="95"/>
      <c r="S8" s="96"/>
      <c r="T8" s="88"/>
      <c r="U8" s="102"/>
    </row>
    <row r="9" spans="1:21" s="1" customFormat="1" ht="52.25" customHeight="1" thickBot="1" x14ac:dyDescent="0.4">
      <c r="A9" s="77"/>
      <c r="B9" s="79"/>
      <c r="C9" s="81"/>
      <c r="D9" s="83"/>
      <c r="E9" s="85"/>
      <c r="F9" s="63"/>
      <c r="G9" s="87"/>
      <c r="H9" s="89"/>
      <c r="I9" s="89"/>
      <c r="J9" s="89"/>
      <c r="K9" s="89"/>
      <c r="L9" s="91"/>
      <c r="M9" s="94"/>
      <c r="N9" s="94"/>
      <c r="O9" s="9" t="s">
        <v>25</v>
      </c>
      <c r="P9" s="9" t="s">
        <v>26</v>
      </c>
      <c r="Q9" s="9" t="s">
        <v>29</v>
      </c>
      <c r="R9" s="9" t="s">
        <v>25</v>
      </c>
      <c r="S9" s="9" t="s">
        <v>26</v>
      </c>
      <c r="T9" s="89"/>
      <c r="U9" s="103"/>
    </row>
    <row r="10" spans="1:21" ht="45" customHeight="1" x14ac:dyDescent="0.35">
      <c r="A10" s="35"/>
      <c r="B10" s="40"/>
      <c r="C10" s="40"/>
      <c r="D10" s="40"/>
      <c r="E10" s="40"/>
      <c r="F10" s="47"/>
      <c r="G10" s="40"/>
      <c r="H10" s="31" t="s">
        <v>35</v>
      </c>
      <c r="I10" s="3" t="s">
        <v>33</v>
      </c>
      <c r="J10" s="17" t="s">
        <v>48</v>
      </c>
      <c r="K10" s="17" t="s">
        <v>41</v>
      </c>
      <c r="L10" s="29" t="s">
        <v>37</v>
      </c>
      <c r="M10" s="39" t="s">
        <v>40</v>
      </c>
      <c r="N10" s="4" t="s">
        <v>22</v>
      </c>
      <c r="O10" s="28">
        <v>35</v>
      </c>
      <c r="P10" s="16">
        <v>35</v>
      </c>
      <c r="Q10" s="46"/>
      <c r="R10" s="110">
        <v>0</v>
      </c>
      <c r="S10" s="22">
        <v>0</v>
      </c>
      <c r="T10" s="98"/>
      <c r="U10" s="99"/>
    </row>
    <row r="11" spans="1:21" ht="45" customHeight="1" x14ac:dyDescent="0.35">
      <c r="A11" s="35"/>
      <c r="B11" s="35"/>
      <c r="C11" s="35"/>
      <c r="D11" s="35"/>
      <c r="E11" s="35"/>
      <c r="F11" s="35"/>
      <c r="G11" s="45"/>
      <c r="H11" s="31" t="s">
        <v>49</v>
      </c>
      <c r="I11" s="3" t="s">
        <v>50</v>
      </c>
      <c r="J11" s="17" t="s">
        <v>52</v>
      </c>
      <c r="K11" s="17" t="s">
        <v>51</v>
      </c>
      <c r="L11" s="29" t="s">
        <v>37</v>
      </c>
      <c r="M11" s="39" t="s">
        <v>53</v>
      </c>
      <c r="N11" s="4" t="s">
        <v>22</v>
      </c>
      <c r="O11" s="28">
        <v>350</v>
      </c>
      <c r="P11" s="16">
        <f>P10+O11</f>
        <v>385</v>
      </c>
      <c r="Q11" s="52" t="s">
        <v>96</v>
      </c>
      <c r="R11" s="16">
        <v>310</v>
      </c>
      <c r="S11" s="22">
        <v>310</v>
      </c>
      <c r="T11" s="98"/>
      <c r="U11" s="99"/>
    </row>
    <row r="12" spans="1:21" ht="45" customHeight="1" x14ac:dyDescent="0.35">
      <c r="A12" s="35"/>
      <c r="B12" s="35"/>
      <c r="C12" s="35"/>
      <c r="D12" s="35"/>
      <c r="E12" s="35"/>
      <c r="F12" s="35"/>
      <c r="G12" s="49"/>
      <c r="H12" s="4" t="s">
        <v>34</v>
      </c>
      <c r="I12" s="3" t="s">
        <v>55</v>
      </c>
      <c r="J12" s="17" t="s">
        <v>56</v>
      </c>
      <c r="K12" s="17" t="s">
        <v>57</v>
      </c>
      <c r="L12" s="37" t="s">
        <v>23</v>
      </c>
      <c r="M12" s="6" t="s">
        <v>24</v>
      </c>
      <c r="N12" s="4" t="s">
        <v>22</v>
      </c>
      <c r="O12" s="28">
        <v>1</v>
      </c>
      <c r="P12" s="16">
        <f>P11+O12</f>
        <v>386</v>
      </c>
      <c r="Q12" s="46">
        <v>45666</v>
      </c>
      <c r="R12" s="110">
        <v>1</v>
      </c>
      <c r="S12" s="22">
        <f>S11+R12</f>
        <v>311</v>
      </c>
      <c r="T12" s="98"/>
      <c r="U12" s="99"/>
    </row>
    <row r="13" spans="1:21" ht="45" customHeight="1" x14ac:dyDescent="0.35">
      <c r="A13" s="35"/>
      <c r="B13" s="35"/>
      <c r="C13" s="48"/>
      <c r="D13" s="35"/>
      <c r="E13" s="35"/>
      <c r="F13" s="35"/>
      <c r="G13" s="35"/>
      <c r="H13" s="31" t="s">
        <v>54</v>
      </c>
      <c r="I13" s="3" t="s">
        <v>60</v>
      </c>
      <c r="J13" s="17" t="s">
        <v>58</v>
      </c>
      <c r="K13" s="17" t="s">
        <v>59</v>
      </c>
      <c r="L13" s="37" t="s">
        <v>23</v>
      </c>
      <c r="M13" s="6" t="s">
        <v>24</v>
      </c>
      <c r="N13" s="4" t="s">
        <v>22</v>
      </c>
      <c r="O13" s="28">
        <v>2</v>
      </c>
      <c r="P13" s="16">
        <f t="shared" ref="P13:P23" si="0">P12+O13</f>
        <v>388</v>
      </c>
      <c r="Q13" s="46">
        <v>45662</v>
      </c>
      <c r="R13" s="110">
        <v>1.5</v>
      </c>
      <c r="S13" s="22">
        <f t="shared" ref="S13:S26" si="1">S12+R13</f>
        <v>312.5</v>
      </c>
      <c r="T13" s="98"/>
      <c r="U13" s="99"/>
    </row>
    <row r="14" spans="1:21" ht="45" customHeight="1" x14ac:dyDescent="0.35">
      <c r="A14" s="35"/>
      <c r="B14" s="35"/>
      <c r="C14" s="48"/>
      <c r="D14" s="35"/>
      <c r="E14" s="35"/>
      <c r="F14" s="35"/>
      <c r="G14" s="35"/>
      <c r="H14" s="31" t="s">
        <v>54</v>
      </c>
      <c r="I14" s="3" t="s">
        <v>60</v>
      </c>
      <c r="J14" s="17" t="s">
        <v>61</v>
      </c>
      <c r="K14" s="17" t="s">
        <v>63</v>
      </c>
      <c r="L14" s="37" t="s">
        <v>23</v>
      </c>
      <c r="M14" s="6" t="s">
        <v>24</v>
      </c>
      <c r="N14" s="4" t="s">
        <v>22</v>
      </c>
      <c r="O14" s="28">
        <v>3</v>
      </c>
      <c r="P14" s="16">
        <f t="shared" si="0"/>
        <v>391</v>
      </c>
      <c r="Q14" s="46">
        <v>45664</v>
      </c>
      <c r="R14" s="110">
        <v>1</v>
      </c>
      <c r="S14" s="22">
        <f t="shared" si="1"/>
        <v>313.5</v>
      </c>
      <c r="T14" s="98"/>
      <c r="U14" s="99"/>
    </row>
    <row r="15" spans="1:21" ht="45" customHeight="1" x14ac:dyDescent="0.35">
      <c r="A15" s="35"/>
      <c r="B15" s="35"/>
      <c r="C15" s="48"/>
      <c r="D15" s="35"/>
      <c r="E15" s="35"/>
      <c r="F15" s="35"/>
      <c r="G15" s="35"/>
      <c r="H15" s="31" t="s">
        <v>54</v>
      </c>
      <c r="I15" s="3" t="s">
        <v>60</v>
      </c>
      <c r="J15" s="17" t="s">
        <v>62</v>
      </c>
      <c r="K15" s="17" t="s">
        <v>57</v>
      </c>
      <c r="L15" s="37" t="s">
        <v>23</v>
      </c>
      <c r="M15" s="6" t="s">
        <v>24</v>
      </c>
      <c r="N15" s="4" t="s">
        <v>22</v>
      </c>
      <c r="O15" s="28">
        <v>1</v>
      </c>
      <c r="P15" s="16">
        <f t="shared" si="0"/>
        <v>392</v>
      </c>
      <c r="Q15" s="46">
        <v>45664</v>
      </c>
      <c r="R15" s="110">
        <v>1</v>
      </c>
      <c r="S15" s="22">
        <f t="shared" si="1"/>
        <v>314.5</v>
      </c>
      <c r="T15" s="100"/>
      <c r="U15" s="101"/>
    </row>
    <row r="16" spans="1:21" ht="45" customHeight="1" x14ac:dyDescent="0.35">
      <c r="A16" s="35"/>
      <c r="B16" s="35"/>
      <c r="C16" s="48"/>
      <c r="D16" s="35"/>
      <c r="E16" s="35"/>
      <c r="F16" s="35"/>
      <c r="G16" s="35"/>
      <c r="H16" s="31" t="s">
        <v>54</v>
      </c>
      <c r="I16" s="3" t="s">
        <v>60</v>
      </c>
      <c r="J16" s="17" t="s">
        <v>64</v>
      </c>
      <c r="K16" s="17" t="s">
        <v>66</v>
      </c>
      <c r="L16" s="37" t="s">
        <v>65</v>
      </c>
      <c r="M16" s="6" t="s">
        <v>24</v>
      </c>
      <c r="N16" s="4" t="s">
        <v>22</v>
      </c>
      <c r="O16" s="28">
        <v>2</v>
      </c>
      <c r="P16" s="16">
        <f t="shared" si="0"/>
        <v>394</v>
      </c>
      <c r="Q16" s="46">
        <v>45664</v>
      </c>
      <c r="R16" s="110">
        <v>1</v>
      </c>
      <c r="S16" s="22">
        <f t="shared" si="1"/>
        <v>315.5</v>
      </c>
      <c r="T16" s="100" t="s">
        <v>76</v>
      </c>
      <c r="U16" s="101"/>
    </row>
    <row r="17" spans="1:21" ht="45" customHeight="1" x14ac:dyDescent="0.35">
      <c r="A17" s="35"/>
      <c r="B17" s="35"/>
      <c r="C17" s="48"/>
      <c r="D17" s="35"/>
      <c r="E17" s="18"/>
      <c r="F17" s="35"/>
      <c r="G17" s="35"/>
      <c r="H17" s="4" t="s">
        <v>36</v>
      </c>
      <c r="I17" s="5" t="s">
        <v>44</v>
      </c>
      <c r="J17" s="17" t="s">
        <v>46</v>
      </c>
      <c r="K17" s="24" t="s">
        <v>45</v>
      </c>
      <c r="L17" s="37" t="s">
        <v>23</v>
      </c>
      <c r="M17" s="39" t="s">
        <v>38</v>
      </c>
      <c r="N17" s="6" t="s">
        <v>22</v>
      </c>
      <c r="O17" s="28">
        <v>7</v>
      </c>
      <c r="P17" s="16">
        <f t="shared" si="0"/>
        <v>401</v>
      </c>
      <c r="Q17" s="28"/>
      <c r="R17" s="110">
        <v>0</v>
      </c>
      <c r="S17" s="22">
        <f t="shared" si="1"/>
        <v>315.5</v>
      </c>
      <c r="T17" s="100"/>
      <c r="U17" s="101"/>
    </row>
    <row r="18" spans="1:21" ht="45" customHeight="1" x14ac:dyDescent="0.35">
      <c r="A18" s="35"/>
      <c r="B18" s="35"/>
      <c r="C18" s="35"/>
      <c r="D18" s="35"/>
      <c r="E18" s="18"/>
      <c r="F18" s="47"/>
      <c r="G18" s="35"/>
      <c r="H18" s="4" t="s">
        <v>34</v>
      </c>
      <c r="I18" s="3" t="s">
        <v>55</v>
      </c>
      <c r="J18" s="17" t="s">
        <v>67</v>
      </c>
      <c r="K18" s="17" t="s">
        <v>68</v>
      </c>
      <c r="L18" s="37" t="s">
        <v>65</v>
      </c>
      <c r="M18" s="39" t="s">
        <v>38</v>
      </c>
      <c r="N18" s="6" t="s">
        <v>22</v>
      </c>
      <c r="O18" s="28">
        <v>1</v>
      </c>
      <c r="P18" s="16">
        <f t="shared" si="0"/>
        <v>402</v>
      </c>
      <c r="Q18" s="28"/>
      <c r="R18" s="110">
        <v>0</v>
      </c>
      <c r="S18" s="22">
        <f t="shared" si="1"/>
        <v>315.5</v>
      </c>
      <c r="T18" s="100"/>
      <c r="U18" s="101"/>
    </row>
    <row r="19" spans="1:21" ht="45" customHeight="1" x14ac:dyDescent="0.35">
      <c r="A19" s="35"/>
      <c r="B19" s="35"/>
      <c r="C19" s="35"/>
      <c r="D19" s="35"/>
      <c r="E19" s="49"/>
      <c r="F19" s="35"/>
      <c r="G19" s="35"/>
      <c r="H19" s="4" t="s">
        <v>36</v>
      </c>
      <c r="I19" s="3" t="s">
        <v>60</v>
      </c>
      <c r="J19" s="17" t="s">
        <v>69</v>
      </c>
      <c r="K19" s="17" t="s">
        <v>59</v>
      </c>
      <c r="L19" s="37" t="s">
        <v>23</v>
      </c>
      <c r="M19" s="39" t="s">
        <v>38</v>
      </c>
      <c r="N19" s="6" t="s">
        <v>22</v>
      </c>
      <c r="O19" s="28">
        <v>3</v>
      </c>
      <c r="P19" s="16">
        <f t="shared" si="0"/>
        <v>405</v>
      </c>
      <c r="Q19" s="46">
        <v>45664</v>
      </c>
      <c r="R19" s="110">
        <v>2</v>
      </c>
      <c r="S19" s="22">
        <f t="shared" si="1"/>
        <v>317.5</v>
      </c>
      <c r="T19" s="100" t="s">
        <v>77</v>
      </c>
      <c r="U19" s="101"/>
    </row>
    <row r="20" spans="1:21" ht="45" customHeight="1" thickBot="1" x14ac:dyDescent="0.4">
      <c r="A20" s="35"/>
      <c r="B20" s="35"/>
      <c r="C20" s="35"/>
      <c r="D20" s="35"/>
      <c r="E20" s="50"/>
      <c r="F20" s="35"/>
      <c r="G20" s="35"/>
      <c r="H20" s="4" t="s">
        <v>36</v>
      </c>
      <c r="I20" s="3" t="s">
        <v>60</v>
      </c>
      <c r="J20" s="17" t="s">
        <v>70</v>
      </c>
      <c r="K20" s="17" t="s">
        <v>66</v>
      </c>
      <c r="L20" s="37" t="s">
        <v>65</v>
      </c>
      <c r="M20" s="39" t="s">
        <v>38</v>
      </c>
      <c r="N20" s="6" t="s">
        <v>22</v>
      </c>
      <c r="O20" s="28">
        <v>2</v>
      </c>
      <c r="P20" s="16">
        <f t="shared" si="0"/>
        <v>407</v>
      </c>
      <c r="Q20" s="46">
        <v>45662</v>
      </c>
      <c r="R20" s="110">
        <v>3</v>
      </c>
      <c r="S20" s="22">
        <f t="shared" si="1"/>
        <v>320.5</v>
      </c>
      <c r="T20" s="100"/>
      <c r="U20" s="101"/>
    </row>
    <row r="21" spans="1:21" ht="45" customHeight="1" x14ac:dyDescent="0.35">
      <c r="A21" s="35"/>
      <c r="B21" s="35"/>
      <c r="C21" s="35"/>
      <c r="D21" s="35"/>
      <c r="E21" s="35"/>
      <c r="F21" s="51"/>
      <c r="G21" s="35"/>
      <c r="H21" s="4" t="s">
        <v>72</v>
      </c>
      <c r="I21" s="3" t="s">
        <v>78</v>
      </c>
      <c r="J21" s="17" t="s">
        <v>71</v>
      </c>
      <c r="K21" s="17" t="s">
        <v>59</v>
      </c>
      <c r="L21" s="37" t="s">
        <v>23</v>
      </c>
      <c r="M21" s="39" t="s">
        <v>38</v>
      </c>
      <c r="N21" s="6" t="s">
        <v>22</v>
      </c>
      <c r="O21" s="28">
        <v>1</v>
      </c>
      <c r="P21" s="16">
        <f t="shared" si="0"/>
        <v>408</v>
      </c>
      <c r="Q21" s="28"/>
      <c r="R21" s="110">
        <v>0</v>
      </c>
      <c r="S21" s="22">
        <f t="shared" si="1"/>
        <v>320.5</v>
      </c>
      <c r="T21" s="100"/>
      <c r="U21" s="101"/>
    </row>
    <row r="22" spans="1:21" ht="45" customHeight="1" thickBot="1" x14ac:dyDescent="0.4">
      <c r="A22" s="35"/>
      <c r="B22" s="35"/>
      <c r="C22" s="35"/>
      <c r="D22" s="35"/>
      <c r="E22" s="50"/>
      <c r="F22" s="18"/>
      <c r="G22" s="35"/>
      <c r="H22" s="4" t="s">
        <v>36</v>
      </c>
      <c r="I22" s="3" t="s">
        <v>60</v>
      </c>
      <c r="J22" s="17" t="s">
        <v>73</v>
      </c>
      <c r="K22" s="17" t="s">
        <v>74</v>
      </c>
      <c r="L22" s="37" t="s">
        <v>23</v>
      </c>
      <c r="M22" s="39" t="s">
        <v>38</v>
      </c>
      <c r="N22" s="6" t="s">
        <v>22</v>
      </c>
      <c r="O22" s="28">
        <v>1</v>
      </c>
      <c r="P22" s="16">
        <f t="shared" si="0"/>
        <v>409</v>
      </c>
      <c r="Q22" s="46">
        <v>45662</v>
      </c>
      <c r="R22" s="110">
        <v>1</v>
      </c>
      <c r="S22" s="22">
        <f t="shared" si="1"/>
        <v>321.5</v>
      </c>
      <c r="T22" s="100"/>
      <c r="U22" s="101"/>
    </row>
    <row r="23" spans="1:21" ht="45" customHeight="1" thickBot="1" x14ac:dyDescent="0.4">
      <c r="A23" s="35"/>
      <c r="B23" s="35"/>
      <c r="C23" s="35"/>
      <c r="D23" s="35"/>
      <c r="E23" s="50"/>
      <c r="F23" s="18"/>
      <c r="G23" s="35"/>
      <c r="H23" s="4" t="s">
        <v>36</v>
      </c>
      <c r="I23" s="3" t="s">
        <v>60</v>
      </c>
      <c r="J23" s="17" t="s">
        <v>79</v>
      </c>
      <c r="K23" s="17" t="s">
        <v>80</v>
      </c>
      <c r="L23" s="37" t="s">
        <v>23</v>
      </c>
      <c r="M23" s="39" t="s">
        <v>81</v>
      </c>
      <c r="N23" s="6" t="s">
        <v>22</v>
      </c>
      <c r="O23" s="28">
        <v>2</v>
      </c>
      <c r="P23" s="16">
        <f t="shared" si="0"/>
        <v>411</v>
      </c>
      <c r="Q23" s="46">
        <v>45664</v>
      </c>
      <c r="R23" s="110">
        <v>6</v>
      </c>
      <c r="S23" s="22">
        <f t="shared" si="1"/>
        <v>327.5</v>
      </c>
      <c r="T23" s="100"/>
      <c r="U23" s="101"/>
    </row>
    <row r="24" spans="1:21" ht="45" customHeight="1" thickBot="1" x14ac:dyDescent="0.4">
      <c r="A24" s="35"/>
      <c r="B24" s="35"/>
      <c r="C24" s="35"/>
      <c r="D24" s="35"/>
      <c r="E24" s="35"/>
      <c r="F24" s="41"/>
      <c r="G24" s="35"/>
      <c r="H24" s="4" t="s">
        <v>36</v>
      </c>
      <c r="I24" s="3" t="s">
        <v>60</v>
      </c>
      <c r="J24" s="17" t="s">
        <v>82</v>
      </c>
      <c r="K24" s="17" t="s">
        <v>83</v>
      </c>
      <c r="L24" s="37" t="s">
        <v>23</v>
      </c>
      <c r="M24" s="39" t="s">
        <v>81</v>
      </c>
      <c r="N24" s="6" t="s">
        <v>22</v>
      </c>
      <c r="O24" s="28">
        <v>5</v>
      </c>
      <c r="P24" s="35"/>
      <c r="Q24" s="46">
        <v>45662</v>
      </c>
      <c r="R24" s="110">
        <v>5</v>
      </c>
      <c r="S24" s="22">
        <f t="shared" si="1"/>
        <v>332.5</v>
      </c>
      <c r="T24" s="100"/>
      <c r="U24" s="101"/>
    </row>
    <row r="25" spans="1:21" ht="45" customHeight="1" x14ac:dyDescent="0.35">
      <c r="A25" s="35"/>
      <c r="B25" s="35"/>
      <c r="C25" s="35"/>
      <c r="D25" s="35"/>
      <c r="E25" s="35"/>
      <c r="F25" s="35"/>
      <c r="G25" s="35"/>
      <c r="H25" s="4" t="s">
        <v>36</v>
      </c>
      <c r="I25" s="3" t="s">
        <v>60</v>
      </c>
      <c r="J25" s="17" t="s">
        <v>84</v>
      </c>
      <c r="K25" s="17" t="s">
        <v>85</v>
      </c>
      <c r="L25" s="37" t="s">
        <v>65</v>
      </c>
      <c r="M25" s="39" t="s">
        <v>81</v>
      </c>
      <c r="N25" s="6" t="s">
        <v>22</v>
      </c>
      <c r="O25" s="28">
        <v>9</v>
      </c>
      <c r="P25" s="35"/>
      <c r="Q25" s="46">
        <v>45666</v>
      </c>
      <c r="R25" s="110">
        <v>9</v>
      </c>
      <c r="S25" s="22">
        <f t="shared" si="1"/>
        <v>341.5</v>
      </c>
      <c r="T25" s="100"/>
      <c r="U25" s="101"/>
    </row>
    <row r="26" spans="1:21" ht="45" customHeight="1" x14ac:dyDescent="0.35">
      <c r="A26" s="35"/>
      <c r="B26" s="35"/>
      <c r="C26" s="35"/>
      <c r="D26" s="35"/>
      <c r="E26" s="35"/>
      <c r="F26" s="35"/>
      <c r="G26" s="35"/>
      <c r="H26" s="4" t="s">
        <v>36</v>
      </c>
      <c r="I26" s="3" t="s">
        <v>60</v>
      </c>
      <c r="J26" s="17" t="s">
        <v>86</v>
      </c>
      <c r="K26" s="17" t="s">
        <v>63</v>
      </c>
      <c r="L26" s="37" t="s">
        <v>23</v>
      </c>
      <c r="M26" s="39" t="s">
        <v>81</v>
      </c>
      <c r="N26" s="6" t="s">
        <v>22</v>
      </c>
      <c r="O26" s="28">
        <v>1</v>
      </c>
      <c r="P26" s="35"/>
      <c r="Q26" s="46">
        <v>45666</v>
      </c>
      <c r="R26" s="110">
        <v>1</v>
      </c>
      <c r="S26" s="22">
        <f t="shared" si="1"/>
        <v>342.5</v>
      </c>
      <c r="T26" s="100"/>
      <c r="U26" s="101"/>
    </row>
    <row r="27" spans="1:21" ht="45" customHeight="1" x14ac:dyDescent="0.35">
      <c r="A27" s="35"/>
      <c r="B27" s="35"/>
      <c r="C27" s="35"/>
      <c r="D27" s="35"/>
      <c r="E27" s="35"/>
      <c r="F27" s="35"/>
      <c r="G27" s="35"/>
      <c r="H27" s="31"/>
      <c r="I27" s="3"/>
      <c r="J27" s="17"/>
      <c r="K27" s="17"/>
      <c r="L27" s="37"/>
      <c r="M27" s="35"/>
      <c r="N27" s="35"/>
      <c r="O27" s="35"/>
      <c r="P27" s="35"/>
      <c r="Q27" s="35"/>
      <c r="R27" s="35"/>
      <c r="S27" s="35"/>
      <c r="T27" s="100"/>
      <c r="U27" s="101"/>
    </row>
    <row r="28" spans="1:21" ht="45" customHeight="1" x14ac:dyDescent="0.35">
      <c r="A28" s="35"/>
      <c r="B28" s="35"/>
      <c r="C28" s="35"/>
      <c r="D28" s="35"/>
      <c r="E28" s="35"/>
      <c r="F28" s="35"/>
      <c r="G28" s="35"/>
      <c r="H28" s="3"/>
      <c r="I28" s="3"/>
      <c r="J28" s="17"/>
      <c r="K28" s="17"/>
      <c r="L28" s="37"/>
      <c r="M28" s="35"/>
      <c r="N28" s="35"/>
      <c r="O28" s="35"/>
      <c r="P28" s="35"/>
      <c r="Q28" s="35"/>
      <c r="R28" s="35"/>
      <c r="S28" s="35"/>
      <c r="T28" s="100"/>
      <c r="U28" s="101"/>
    </row>
  </sheetData>
  <mergeCells count="45">
    <mergeCell ref="T24:U24"/>
    <mergeCell ref="T25:U25"/>
    <mergeCell ref="T26:U26"/>
    <mergeCell ref="T27:U27"/>
    <mergeCell ref="T28:U28"/>
    <mergeCell ref="T10:U10"/>
    <mergeCell ref="T11:U11"/>
    <mergeCell ref="T23:U23"/>
    <mergeCell ref="T17:U17"/>
    <mergeCell ref="O6:S6"/>
    <mergeCell ref="T6:U9"/>
    <mergeCell ref="T22:U22"/>
    <mergeCell ref="T18:U18"/>
    <mergeCell ref="T19:U19"/>
    <mergeCell ref="T20:U20"/>
    <mergeCell ref="T21:U21"/>
    <mergeCell ref="T12:U12"/>
    <mergeCell ref="T13:U13"/>
    <mergeCell ref="T14:U14"/>
    <mergeCell ref="T15:U15"/>
    <mergeCell ref="T16:U16"/>
    <mergeCell ref="M6:M9"/>
    <mergeCell ref="H7:H9"/>
    <mergeCell ref="I7:I9"/>
    <mergeCell ref="J7:J9"/>
    <mergeCell ref="O7:S7"/>
    <mergeCell ref="O8:P8"/>
    <mergeCell ref="Q8:S8"/>
    <mergeCell ref="N6:N9"/>
    <mergeCell ref="F6:F9"/>
    <mergeCell ref="A3:H3"/>
    <mergeCell ref="I3:K3"/>
    <mergeCell ref="L3:S3"/>
    <mergeCell ref="A4:H4"/>
    <mergeCell ref="I4:K4"/>
    <mergeCell ref="A5:U5"/>
    <mergeCell ref="A6:A9"/>
    <mergeCell ref="B6:B9"/>
    <mergeCell ref="C6:C9"/>
    <mergeCell ref="D6:D9"/>
    <mergeCell ref="E6:E9"/>
    <mergeCell ref="G6:G9"/>
    <mergeCell ref="H6:J6"/>
    <mergeCell ref="K6:K9"/>
    <mergeCell ref="L6:L9"/>
  </mergeCells>
  <phoneticPr fontId="5" type="noConversion"/>
  <printOptions horizontalCentered="1"/>
  <pageMargins left="0.25" right="0.25" top="0.25" bottom="0.25" header="0.25" footer="0.25"/>
  <pageSetup paperSize="8" scale="69" fitToHeight="0" orientation="landscape" verticalDpi="1200" r:id="rId1"/>
  <headerFooter>
    <oddFooter>&amp;L_x000D_&amp;1#&amp;"Calibri"&amp;12&amp;K000000 Information Classification: Public&amp;C&amp;P of &amp;N&amp;R&amp;D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86F6-D302-4CFB-995A-1862526479A9}">
  <sheetPr>
    <pageSetUpPr fitToPage="1"/>
  </sheetPr>
  <dimension ref="A1:U27"/>
  <sheetViews>
    <sheetView zoomScale="70" zoomScaleNormal="70" zoomScaleSheetLayoutView="85" workbookViewId="0">
      <selection activeCell="P17" sqref="P17"/>
    </sheetView>
  </sheetViews>
  <sheetFormatPr defaultRowHeight="14.5" x14ac:dyDescent="0.35"/>
  <cols>
    <col min="1" max="1" width="3.90625" bestFit="1" customWidth="1"/>
    <col min="2" max="7" width="3.90625" customWidth="1"/>
    <col min="8" max="8" width="22.54296875" customWidth="1"/>
    <col min="9" max="9" width="19.08984375" customWidth="1"/>
    <col min="10" max="10" width="35.81640625" customWidth="1"/>
    <col min="11" max="11" width="28.1796875" customWidth="1"/>
    <col min="12" max="12" width="18.90625" customWidth="1"/>
    <col min="13" max="13" width="21.08984375" customWidth="1"/>
    <col min="14" max="14" width="11.08984375" customWidth="1"/>
    <col min="15" max="15" width="10.1796875" customWidth="1"/>
    <col min="16" max="17" width="14.453125" customWidth="1"/>
    <col min="18" max="18" width="13.453125" customWidth="1"/>
    <col min="19" max="20" width="14.81640625" customWidth="1"/>
    <col min="21" max="21" width="27.81640625" customWidth="1"/>
  </cols>
  <sheetData>
    <row r="1" spans="1:21" ht="21" customHeight="1" x14ac:dyDescent="0.3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2"/>
    </row>
    <row r="2" spans="1:21" ht="49.5" customHeight="1" x14ac:dyDescent="0.35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5"/>
    </row>
    <row r="3" spans="1:21" ht="27" customHeight="1" x14ac:dyDescent="0.35">
      <c r="A3" s="64" t="s">
        <v>0</v>
      </c>
      <c r="B3" s="65"/>
      <c r="C3" s="65"/>
      <c r="D3" s="65"/>
      <c r="E3" s="65"/>
      <c r="F3" s="65"/>
      <c r="G3" s="65"/>
      <c r="H3" s="66"/>
      <c r="I3" s="67" t="s">
        <v>1</v>
      </c>
      <c r="J3" s="68"/>
      <c r="K3" s="68"/>
      <c r="L3" s="69"/>
      <c r="M3" s="65"/>
      <c r="N3" s="65"/>
      <c r="O3" s="65"/>
      <c r="P3" s="65"/>
      <c r="Q3" s="65"/>
      <c r="R3" s="65"/>
      <c r="S3" s="65"/>
      <c r="T3" s="7" t="s">
        <v>21</v>
      </c>
      <c r="U3" s="20" t="s">
        <v>100</v>
      </c>
    </row>
    <row r="4" spans="1:21" ht="28.25" customHeight="1" thickBot="1" x14ac:dyDescent="0.4">
      <c r="A4" s="70" t="s">
        <v>2</v>
      </c>
      <c r="B4" s="71"/>
      <c r="C4" s="71"/>
      <c r="D4" s="71"/>
      <c r="E4" s="71"/>
      <c r="F4" s="71"/>
      <c r="G4" s="71"/>
      <c r="H4" s="72"/>
      <c r="I4" s="67" t="s">
        <v>3</v>
      </c>
      <c r="J4" s="68"/>
      <c r="K4" s="68"/>
      <c r="T4" s="8" t="s">
        <v>5</v>
      </c>
      <c r="U4" s="19" t="s">
        <v>101</v>
      </c>
    </row>
    <row r="5" spans="1:21" ht="31.25" customHeight="1" x14ac:dyDescent="0.35">
      <c r="A5" s="73" t="s">
        <v>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5"/>
    </row>
    <row r="6" spans="1:21" s="1" customFormat="1" ht="18" customHeight="1" x14ac:dyDescent="0.35">
      <c r="A6" s="76" t="s">
        <v>6</v>
      </c>
      <c r="B6" s="78" t="s">
        <v>7</v>
      </c>
      <c r="C6" s="80" t="s">
        <v>8</v>
      </c>
      <c r="D6" s="82" t="s">
        <v>9</v>
      </c>
      <c r="E6" s="84" t="s">
        <v>10</v>
      </c>
      <c r="F6" s="62" t="s">
        <v>11</v>
      </c>
      <c r="G6" s="86" t="s">
        <v>12</v>
      </c>
      <c r="H6" s="88" t="s">
        <v>13</v>
      </c>
      <c r="I6" s="88"/>
      <c r="J6" s="88"/>
      <c r="K6" s="88" t="s">
        <v>16</v>
      </c>
      <c r="L6" s="90" t="s">
        <v>20</v>
      </c>
      <c r="M6" s="92" t="s">
        <v>17</v>
      </c>
      <c r="N6" s="92" t="s">
        <v>19</v>
      </c>
      <c r="O6" s="95"/>
      <c r="P6" s="95"/>
      <c r="Q6" s="95"/>
      <c r="R6" s="95"/>
      <c r="S6" s="95"/>
      <c r="T6" s="88" t="s">
        <v>18</v>
      </c>
      <c r="U6" s="102"/>
    </row>
    <row r="7" spans="1:21" s="1" customFormat="1" ht="17" x14ac:dyDescent="0.35">
      <c r="A7" s="76"/>
      <c r="B7" s="78"/>
      <c r="C7" s="80"/>
      <c r="D7" s="82"/>
      <c r="E7" s="84"/>
      <c r="F7" s="62"/>
      <c r="G7" s="86"/>
      <c r="H7" s="88" t="s">
        <v>14</v>
      </c>
      <c r="I7" s="88" t="s">
        <v>30</v>
      </c>
      <c r="J7" s="88" t="s">
        <v>15</v>
      </c>
      <c r="K7" s="88"/>
      <c r="L7" s="90"/>
      <c r="M7" s="93"/>
      <c r="N7" s="93"/>
      <c r="O7" s="88"/>
      <c r="P7" s="88"/>
      <c r="Q7" s="88"/>
      <c r="R7" s="88"/>
      <c r="S7" s="88"/>
      <c r="T7" s="88"/>
      <c r="U7" s="102"/>
    </row>
    <row r="8" spans="1:21" s="1" customFormat="1" ht="25.75" customHeight="1" x14ac:dyDescent="0.35">
      <c r="A8" s="76"/>
      <c r="B8" s="78"/>
      <c r="C8" s="80"/>
      <c r="D8" s="82"/>
      <c r="E8" s="84"/>
      <c r="F8" s="62"/>
      <c r="G8" s="86"/>
      <c r="H8" s="88"/>
      <c r="I8" s="88"/>
      <c r="J8" s="88"/>
      <c r="K8" s="88"/>
      <c r="L8" s="90"/>
      <c r="M8" s="93"/>
      <c r="N8" s="93"/>
      <c r="O8" s="95" t="s">
        <v>27</v>
      </c>
      <c r="P8" s="96"/>
      <c r="Q8" s="97" t="s">
        <v>28</v>
      </c>
      <c r="R8" s="95"/>
      <c r="S8" s="96"/>
      <c r="T8" s="88"/>
      <c r="U8" s="102"/>
    </row>
    <row r="9" spans="1:21" s="1" customFormat="1" ht="52.25" customHeight="1" thickBot="1" x14ac:dyDescent="0.4">
      <c r="A9" s="77"/>
      <c r="B9" s="79"/>
      <c r="C9" s="81"/>
      <c r="D9" s="83"/>
      <c r="E9" s="85"/>
      <c r="F9" s="63"/>
      <c r="G9" s="87"/>
      <c r="H9" s="89"/>
      <c r="I9" s="89"/>
      <c r="J9" s="89"/>
      <c r="K9" s="89"/>
      <c r="L9" s="91"/>
      <c r="M9" s="94"/>
      <c r="N9" s="94"/>
      <c r="O9" s="9" t="s">
        <v>25</v>
      </c>
      <c r="P9" s="9" t="s">
        <v>26</v>
      </c>
      <c r="Q9" s="9" t="s">
        <v>29</v>
      </c>
      <c r="R9" s="9" t="s">
        <v>25</v>
      </c>
      <c r="S9" s="9" t="s">
        <v>26</v>
      </c>
      <c r="T9" s="89"/>
      <c r="U9" s="103"/>
    </row>
    <row r="10" spans="1:21" ht="50" customHeight="1" x14ac:dyDescent="0.35">
      <c r="A10" s="3">
        <v>1</v>
      </c>
      <c r="B10" s="18"/>
      <c r="C10" s="4"/>
      <c r="D10" s="4"/>
      <c r="E10" s="18"/>
      <c r="F10" s="42"/>
      <c r="G10" s="18"/>
      <c r="H10" s="37" t="s">
        <v>32</v>
      </c>
      <c r="I10" s="4" t="s">
        <v>39</v>
      </c>
      <c r="J10" s="27" t="s">
        <v>87</v>
      </c>
      <c r="K10" s="27" t="s">
        <v>42</v>
      </c>
      <c r="L10" s="37" t="s">
        <v>23</v>
      </c>
      <c r="M10" s="39" t="s">
        <v>81</v>
      </c>
      <c r="N10" s="6" t="s">
        <v>22</v>
      </c>
      <c r="O10" s="53">
        <v>28</v>
      </c>
      <c r="P10" s="53">
        <v>28</v>
      </c>
      <c r="Q10" s="54"/>
      <c r="R10" s="55"/>
      <c r="S10" s="55"/>
      <c r="T10" s="104"/>
      <c r="U10" s="105"/>
    </row>
    <row r="11" spans="1:21" ht="50" customHeight="1" x14ac:dyDescent="0.35">
      <c r="A11" s="3">
        <v>2</v>
      </c>
      <c r="B11" s="36"/>
      <c r="C11" s="4"/>
      <c r="D11" s="4"/>
      <c r="E11" s="18"/>
      <c r="F11" s="3"/>
      <c r="G11" s="18"/>
      <c r="H11" s="4" t="s">
        <v>36</v>
      </c>
      <c r="I11" s="4" t="s">
        <v>39</v>
      </c>
      <c r="J11" s="27" t="s">
        <v>88</v>
      </c>
      <c r="K11" s="27" t="s">
        <v>59</v>
      </c>
      <c r="L11" s="37" t="s">
        <v>23</v>
      </c>
      <c r="M11" s="39" t="s">
        <v>81</v>
      </c>
      <c r="N11" s="6" t="s">
        <v>22</v>
      </c>
      <c r="O11" s="53">
        <v>2</v>
      </c>
      <c r="P11" s="53">
        <f>O10+O11</f>
        <v>30</v>
      </c>
      <c r="Q11" s="54"/>
      <c r="R11" s="55"/>
      <c r="S11" s="55"/>
      <c r="T11" s="106"/>
      <c r="U11" s="107"/>
    </row>
    <row r="12" spans="1:21" ht="50" customHeight="1" x14ac:dyDescent="0.35">
      <c r="A12" s="3">
        <v>2</v>
      </c>
      <c r="B12" s="18"/>
      <c r="C12" s="4"/>
      <c r="D12" s="3"/>
      <c r="E12" s="18"/>
      <c r="F12" s="42"/>
      <c r="G12" s="18"/>
      <c r="H12" s="37" t="s">
        <v>32</v>
      </c>
      <c r="I12" s="4" t="s">
        <v>39</v>
      </c>
      <c r="J12" s="56" t="s">
        <v>89</v>
      </c>
      <c r="K12" s="27" t="s">
        <v>90</v>
      </c>
      <c r="L12" s="37" t="s">
        <v>31</v>
      </c>
      <c r="M12" s="6" t="s">
        <v>93</v>
      </c>
      <c r="N12" s="6" t="s">
        <v>22</v>
      </c>
      <c r="O12" s="57">
        <v>10</v>
      </c>
      <c r="P12" s="53">
        <f t="shared" ref="P12" si="0">O12+P11</f>
        <v>40</v>
      </c>
      <c r="Q12" s="54"/>
      <c r="R12" s="55"/>
      <c r="S12" s="55"/>
      <c r="T12" s="106"/>
      <c r="U12" s="107"/>
    </row>
    <row r="13" spans="1:21" ht="65.400000000000006" customHeight="1" x14ac:dyDescent="0.35">
      <c r="A13" s="2">
        <v>3</v>
      </c>
      <c r="B13" s="18"/>
      <c r="C13" s="38"/>
      <c r="D13" s="44"/>
      <c r="E13" s="18"/>
      <c r="F13" s="18"/>
      <c r="G13" s="18"/>
      <c r="H13" s="4" t="s">
        <v>36</v>
      </c>
      <c r="I13" s="58" t="s">
        <v>39</v>
      </c>
      <c r="J13" s="56" t="s">
        <v>91</v>
      </c>
      <c r="K13" s="27" t="s">
        <v>92</v>
      </c>
      <c r="L13" s="37" t="s">
        <v>31</v>
      </c>
      <c r="M13" s="6" t="s">
        <v>43</v>
      </c>
      <c r="N13" s="6" t="s">
        <v>22</v>
      </c>
      <c r="O13" s="53">
        <v>3</v>
      </c>
      <c r="P13" s="53">
        <f t="shared" ref="P13:P17" si="1">P12+O13</f>
        <v>43</v>
      </c>
      <c r="Q13" s="54"/>
      <c r="R13" s="55"/>
      <c r="S13" s="55"/>
      <c r="T13" s="106"/>
      <c r="U13" s="107"/>
    </row>
    <row r="14" spans="1:21" ht="50" customHeight="1" x14ac:dyDescent="0.35">
      <c r="A14" s="2">
        <v>4</v>
      </c>
      <c r="B14" s="32"/>
      <c r="C14" s="32"/>
      <c r="D14" s="32"/>
      <c r="E14" s="59"/>
      <c r="F14" s="32"/>
      <c r="G14" s="32"/>
      <c r="H14" s="31" t="s">
        <v>35</v>
      </c>
      <c r="I14" s="3" t="s">
        <v>33</v>
      </c>
      <c r="J14" s="17" t="s">
        <v>48</v>
      </c>
      <c r="K14" s="17" t="s">
        <v>41</v>
      </c>
      <c r="L14" s="29" t="s">
        <v>37</v>
      </c>
      <c r="M14" s="39" t="s">
        <v>40</v>
      </c>
      <c r="N14" s="4" t="s">
        <v>22</v>
      </c>
      <c r="O14" s="28">
        <v>35</v>
      </c>
      <c r="P14" s="53">
        <f t="shared" si="1"/>
        <v>78</v>
      </c>
      <c r="Q14" s="16"/>
      <c r="R14" s="22"/>
      <c r="S14" s="22"/>
      <c r="T14" s="108"/>
      <c r="U14" s="109"/>
    </row>
    <row r="15" spans="1:21" ht="50" customHeight="1" x14ac:dyDescent="0.35">
      <c r="A15" s="23">
        <v>5</v>
      </c>
      <c r="B15" s="32"/>
      <c r="C15" s="32"/>
      <c r="D15" s="32"/>
      <c r="E15" s="59"/>
      <c r="F15" s="32"/>
      <c r="G15" s="32"/>
      <c r="H15" s="31" t="s">
        <v>35</v>
      </c>
      <c r="I15" s="3" t="s">
        <v>33</v>
      </c>
      <c r="J15" s="17" t="s">
        <v>94</v>
      </c>
      <c r="K15" s="17" t="s">
        <v>95</v>
      </c>
      <c r="L15" s="29" t="s">
        <v>37</v>
      </c>
      <c r="M15" s="39" t="s">
        <v>40</v>
      </c>
      <c r="N15" s="4" t="s">
        <v>22</v>
      </c>
      <c r="O15" s="28">
        <v>231</v>
      </c>
      <c r="P15" s="53">
        <f t="shared" si="1"/>
        <v>309</v>
      </c>
      <c r="Q15" s="21"/>
      <c r="R15" s="22"/>
      <c r="S15" s="22"/>
      <c r="T15" s="25"/>
      <c r="U15" s="26"/>
    </row>
    <row r="16" spans="1:21" ht="50" customHeight="1" x14ac:dyDescent="0.35">
      <c r="A16" s="23"/>
      <c r="B16" s="60"/>
      <c r="C16" s="32"/>
      <c r="D16" s="32"/>
      <c r="E16" s="32"/>
      <c r="F16" s="32"/>
      <c r="G16" s="32"/>
      <c r="H16" s="31" t="s">
        <v>49</v>
      </c>
      <c r="I16" s="3" t="s">
        <v>50</v>
      </c>
      <c r="J16" s="17" t="s">
        <v>99</v>
      </c>
      <c r="K16" s="17" t="s">
        <v>51</v>
      </c>
      <c r="L16" s="29" t="s">
        <v>37</v>
      </c>
      <c r="M16" s="39" t="s">
        <v>53</v>
      </c>
      <c r="N16" s="4" t="s">
        <v>22</v>
      </c>
      <c r="O16" s="16">
        <v>130</v>
      </c>
      <c r="P16" s="53">
        <f t="shared" si="1"/>
        <v>439</v>
      </c>
      <c r="Q16" s="43"/>
      <c r="R16" s="22"/>
      <c r="S16" s="22"/>
      <c r="T16" s="25"/>
      <c r="U16" s="26"/>
    </row>
    <row r="17" spans="1:21" ht="50" customHeight="1" x14ac:dyDescent="0.35">
      <c r="A17" s="30"/>
      <c r="B17" s="32"/>
      <c r="C17" s="32"/>
      <c r="D17" s="32"/>
      <c r="E17" s="32"/>
      <c r="F17" s="61"/>
      <c r="G17" s="32"/>
      <c r="H17" s="31" t="s">
        <v>49</v>
      </c>
      <c r="I17" s="3" t="s">
        <v>50</v>
      </c>
      <c r="J17" s="17" t="s">
        <v>98</v>
      </c>
      <c r="K17" s="17" t="s">
        <v>51</v>
      </c>
      <c r="L17" s="29" t="s">
        <v>37</v>
      </c>
      <c r="M17" s="39" t="s">
        <v>97</v>
      </c>
      <c r="N17" s="4" t="s">
        <v>22</v>
      </c>
      <c r="O17" s="33">
        <v>200</v>
      </c>
      <c r="P17" s="53">
        <f t="shared" si="1"/>
        <v>639</v>
      </c>
      <c r="Q17" s="34"/>
      <c r="R17" s="22"/>
      <c r="S17" s="22"/>
      <c r="T17" s="98"/>
      <c r="U17" s="99"/>
    </row>
    <row r="18" spans="1:21" ht="50" customHeight="1" x14ac:dyDescent="0.35">
      <c r="A18" s="35"/>
      <c r="B18" s="32"/>
      <c r="C18" s="32"/>
      <c r="D18" s="32"/>
      <c r="E18" s="32"/>
      <c r="F18" s="32"/>
      <c r="G18" s="32"/>
      <c r="H18" s="4"/>
      <c r="I18" s="3"/>
      <c r="J18" s="17"/>
      <c r="K18" s="24"/>
      <c r="L18" s="27"/>
      <c r="M18" s="39"/>
      <c r="N18" s="4"/>
      <c r="O18" s="28"/>
      <c r="P18" s="16"/>
      <c r="Q18" s="34"/>
      <c r="R18" s="22"/>
      <c r="S18" s="22"/>
      <c r="T18" s="98"/>
      <c r="U18" s="99"/>
    </row>
    <row r="19" spans="1:21" ht="50" customHeight="1" x14ac:dyDescent="0.35">
      <c r="A19" s="35"/>
      <c r="B19" s="32"/>
      <c r="C19" s="32"/>
      <c r="D19" s="32"/>
      <c r="E19" s="32"/>
      <c r="F19" s="32"/>
      <c r="G19" s="32"/>
      <c r="H19" s="4"/>
      <c r="I19" s="5"/>
      <c r="J19" s="17"/>
      <c r="K19" s="17"/>
      <c r="L19" s="37"/>
      <c r="M19" s="6"/>
      <c r="N19" s="6"/>
      <c r="O19" s="28"/>
      <c r="P19" s="16"/>
      <c r="Q19" s="35"/>
      <c r="R19" s="22"/>
      <c r="S19" s="22"/>
      <c r="T19" s="98"/>
      <c r="U19" s="99"/>
    </row>
    <row r="20" spans="1:21" ht="53.4" customHeight="1" x14ac:dyDescent="0.35">
      <c r="A20" s="35"/>
      <c r="B20" s="32"/>
      <c r="C20" s="32"/>
      <c r="D20" s="32"/>
      <c r="E20" s="32"/>
      <c r="F20" s="32"/>
      <c r="G20" s="32"/>
      <c r="H20" s="4"/>
      <c r="I20" s="5"/>
      <c r="J20" s="17"/>
      <c r="K20" s="24"/>
      <c r="L20" s="37"/>
      <c r="M20" s="39"/>
      <c r="N20" s="6"/>
      <c r="O20" s="28"/>
      <c r="P20" s="16"/>
      <c r="Q20" s="21"/>
      <c r="R20" s="22"/>
      <c r="S20" s="22"/>
      <c r="T20" s="98"/>
      <c r="U20" s="99"/>
    </row>
    <row r="21" spans="1:21" ht="63.65" customHeight="1" x14ac:dyDescent="0.35">
      <c r="A21" s="35"/>
      <c r="B21" s="32"/>
      <c r="C21" s="32"/>
      <c r="D21" s="32"/>
      <c r="E21" s="32"/>
      <c r="F21" s="32"/>
      <c r="G21" s="32"/>
      <c r="H21" s="4"/>
      <c r="I21" s="5"/>
      <c r="J21" s="17"/>
      <c r="K21" s="24"/>
      <c r="L21" s="37"/>
      <c r="M21" s="39"/>
      <c r="N21" s="6"/>
      <c r="O21" s="28"/>
      <c r="P21" s="16"/>
      <c r="Q21" s="21"/>
      <c r="R21" s="22"/>
      <c r="S21" s="22"/>
      <c r="T21" s="98"/>
      <c r="U21" s="99"/>
    </row>
    <row r="22" spans="1:21" ht="50" customHeight="1" x14ac:dyDescent="0.35">
      <c r="A22" s="35"/>
      <c r="B22" s="32"/>
      <c r="C22" s="32"/>
      <c r="D22" s="32"/>
      <c r="E22" s="32"/>
      <c r="F22" s="32"/>
      <c r="G22" s="32"/>
      <c r="H22" s="31"/>
      <c r="I22" s="3"/>
      <c r="J22" s="17"/>
      <c r="K22" s="17"/>
      <c r="L22" s="29"/>
      <c r="M22" s="39"/>
      <c r="N22" s="4"/>
      <c r="O22" s="28"/>
      <c r="P22" s="16"/>
      <c r="Q22" s="46"/>
      <c r="R22" s="16"/>
      <c r="S22" s="22"/>
      <c r="T22" s="98"/>
      <c r="U22" s="99"/>
    </row>
    <row r="23" spans="1:21" ht="50" customHeight="1" x14ac:dyDescent="0.35">
      <c r="A23" s="35"/>
      <c r="B23" s="32"/>
      <c r="C23" s="32"/>
      <c r="D23" s="32"/>
      <c r="E23" s="32"/>
      <c r="F23" s="32"/>
      <c r="G23" s="32"/>
      <c r="H23" s="31"/>
      <c r="I23" s="3"/>
      <c r="J23" s="17"/>
      <c r="K23" s="17"/>
      <c r="L23" s="29"/>
      <c r="M23" s="39"/>
      <c r="N23" s="4"/>
      <c r="O23" s="28"/>
      <c r="P23" s="16"/>
      <c r="Q23" s="46"/>
      <c r="R23" s="16"/>
      <c r="S23" s="35"/>
      <c r="T23" s="98"/>
      <c r="U23" s="99"/>
    </row>
    <row r="24" spans="1:21" ht="50" customHeight="1" x14ac:dyDescent="0.35">
      <c r="A24" s="35"/>
      <c r="B24" s="32"/>
      <c r="C24" s="32"/>
      <c r="D24" s="32"/>
      <c r="E24" s="32"/>
      <c r="F24" s="32"/>
      <c r="G24" s="32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98"/>
      <c r="U24" s="99"/>
    </row>
    <row r="25" spans="1:21" ht="50" customHeight="1" x14ac:dyDescent="0.3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98"/>
      <c r="U25" s="99"/>
    </row>
    <row r="26" spans="1:21" ht="50" customHeight="1" x14ac:dyDescent="0.3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98"/>
      <c r="U26" s="99"/>
    </row>
    <row r="27" spans="1:21" ht="50" customHeight="1" x14ac:dyDescent="0.3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100"/>
      <c r="U27" s="101"/>
    </row>
  </sheetData>
  <mergeCells count="42">
    <mergeCell ref="F6:F9"/>
    <mergeCell ref="A3:H3"/>
    <mergeCell ref="I3:K3"/>
    <mergeCell ref="L3:S3"/>
    <mergeCell ref="A4:H4"/>
    <mergeCell ref="I4:K4"/>
    <mergeCell ref="A5:U5"/>
    <mergeCell ref="A6:A9"/>
    <mergeCell ref="B6:B9"/>
    <mergeCell ref="C6:C9"/>
    <mergeCell ref="D6:D9"/>
    <mergeCell ref="E6:E9"/>
    <mergeCell ref="G6:G9"/>
    <mergeCell ref="H6:J6"/>
    <mergeCell ref="K6:K9"/>
    <mergeCell ref="L6:L9"/>
    <mergeCell ref="M6:M9"/>
    <mergeCell ref="O6:S6"/>
    <mergeCell ref="T6:U9"/>
    <mergeCell ref="H7:H9"/>
    <mergeCell ref="I7:I9"/>
    <mergeCell ref="J7:J9"/>
    <mergeCell ref="O7:S7"/>
    <mergeCell ref="O8:P8"/>
    <mergeCell ref="Q8:S8"/>
    <mergeCell ref="N6:N9"/>
    <mergeCell ref="T17:U17"/>
    <mergeCell ref="T10:U10"/>
    <mergeCell ref="T12:U12"/>
    <mergeCell ref="T13:U13"/>
    <mergeCell ref="T14:U14"/>
    <mergeCell ref="T11:U11"/>
    <mergeCell ref="T18:U18"/>
    <mergeCell ref="T19:U19"/>
    <mergeCell ref="T20:U20"/>
    <mergeCell ref="T25:U25"/>
    <mergeCell ref="T26:U26"/>
    <mergeCell ref="T27:U27"/>
    <mergeCell ref="T21:U21"/>
    <mergeCell ref="T22:U22"/>
    <mergeCell ref="T23:U23"/>
    <mergeCell ref="T24:U24"/>
  </mergeCells>
  <phoneticPr fontId="5" type="noConversion"/>
  <printOptions horizontalCentered="1"/>
  <pageMargins left="0.25" right="0.25" top="0.25" bottom="0.25" header="0.25" footer="0.25"/>
  <pageSetup paperSize="8" scale="69" fitToHeight="0" orientation="landscape" verticalDpi="1200" r:id="rId1"/>
  <headerFooter>
    <oddFooter>&amp;L_x000D_&amp;1#&amp;"Calibri"&amp;12&amp;K000000 Information Classification: Public&amp;C&amp;P of &amp;N&amp;R&amp;D</oddFooter>
  </headerFooter>
  <ignoredErrors>
    <ignoredError sqref="P13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CAA4299EA94E49BFA8A00ADFEC4334" ma:contentTypeVersion="15" ma:contentTypeDescription="Create a new document." ma:contentTypeScope="" ma:versionID="36588a99efc05334f3b40b5fa7afb26f">
  <xsd:schema xmlns:xsd="http://www.w3.org/2001/XMLSchema" xmlns:xs="http://www.w3.org/2001/XMLSchema" xmlns:p="http://schemas.microsoft.com/office/2006/metadata/properties" xmlns:ns2="c9573215-7ee1-4046-91b1-e9db1fe7d7ba" xmlns:ns3="159dd821-2838-40ff-9b35-27d8e516815e" targetNamespace="http://schemas.microsoft.com/office/2006/metadata/properties" ma:root="true" ma:fieldsID="c1cb7cf7f0227ff5c22de824b2f1f33d" ns2:_="" ns3:_="">
    <xsd:import namespace="c9573215-7ee1-4046-91b1-e9db1fe7d7ba"/>
    <xsd:import namespace="159dd821-2838-40ff-9b35-27d8e5168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73215-7ee1-4046-91b1-e9db1fe7d7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41e0122-245e-454d-8481-5a6e16acd2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dd821-2838-40ff-9b35-27d8e51681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80a9ca-6405-47f9-a8d3-786192d59599}" ma:internalName="TaxCatchAll" ma:showField="CatchAllData" ma:web="159dd821-2838-40ff-9b35-27d8e51681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573215-7ee1-4046-91b1-e9db1fe7d7ba">
      <Terms xmlns="http://schemas.microsoft.com/office/infopath/2007/PartnerControls"/>
    </lcf76f155ced4ddcb4097134ff3c332f>
    <TaxCatchAll xmlns="159dd821-2838-40ff-9b35-27d8e516815e" xsi:nil="true"/>
  </documentManagement>
</p:properties>
</file>

<file path=customXml/itemProps1.xml><?xml version="1.0" encoding="utf-8"?>
<ds:datastoreItem xmlns:ds="http://schemas.openxmlformats.org/officeDocument/2006/customXml" ds:itemID="{D944409B-3BA8-410E-94C0-2E07668B57F2}"/>
</file>

<file path=customXml/itemProps2.xml><?xml version="1.0" encoding="utf-8"?>
<ds:datastoreItem xmlns:ds="http://schemas.openxmlformats.org/officeDocument/2006/customXml" ds:itemID="{801785C1-7B5C-4CA6-98F6-BB700166CA5A}"/>
</file>

<file path=customXml/itemProps3.xml><?xml version="1.0" encoding="utf-8"?>
<ds:datastoreItem xmlns:ds="http://schemas.openxmlformats.org/officeDocument/2006/customXml" ds:itemID="{269A4D75-9AAA-4418-B4B8-DCF06853B0CF}"/>
</file>

<file path=docMetadata/LabelInfo.xml><?xml version="1.0" encoding="utf-8"?>
<clbl:labelList xmlns:clbl="http://schemas.microsoft.com/office/2020/mipLabelMetadata">
  <clbl:label id="{63c1f6ae-ba43-49da-92a6-8563d4ba9744}" enabled="0" method="" siteId="{63c1f6ae-ba43-49da-92a6-8563d4ba97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Actual For Week 52</vt:lpstr>
      <vt:lpstr>Plan For Week 53</vt:lpstr>
      <vt:lpstr>'Actual For Week 52'!Print_Area</vt:lpstr>
      <vt:lpstr>'Plan For Week 53'!Print_Area</vt:lpstr>
      <vt:lpstr>'Actual For Week 52'!Print_Titles</vt:lpstr>
      <vt:lpstr>'Plan For Week 53'!Print_Titles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Ullah</dc:creator>
  <cp:lastModifiedBy>Clive Walsh</cp:lastModifiedBy>
  <cp:lastPrinted>2024-10-09T14:07:46Z</cp:lastPrinted>
  <dcterms:created xsi:type="dcterms:W3CDTF">2024-05-01T11:25:33Z</dcterms:created>
  <dcterms:modified xsi:type="dcterms:W3CDTF">2025-01-11T07:46:40Z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2024-07-23T12:01:53Z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83df5c7e-7cc6-4dec-bc94-c40a2ff24b99</vt:lpwstr>
  </property>
  <property fmtid="{D5CDD505-2E9C-101B-9397-08002B2CF9AE}" pid="8" name="MSIP_Label_7d95f39c-8218-4425-a791-63c9e13c8708_ContentBits">
    <vt:lpwstr>0</vt:lpwstr>
  </property>
  <property fmtid="{D5CDD505-2E9C-101B-9397-08002B2CF9AE}" pid="9" name="MSIP_Label_d86260be-c5d9-4247-b9a5-64fd759dd744_Enabled">
    <vt:lpwstr>true</vt:lpwstr>
  </property>
  <property fmtid="{D5CDD505-2E9C-101B-9397-08002B2CF9AE}" pid="10" name="MSIP_Label_d86260be-c5d9-4247-b9a5-64fd759dd744_SetDate">
    <vt:lpwstr>2025-01-11T07:45:09Z</vt:lpwstr>
  </property>
  <property fmtid="{D5CDD505-2E9C-101B-9397-08002B2CF9AE}" pid="11" name="MSIP_Label_d86260be-c5d9-4247-b9a5-64fd759dd744_Method">
    <vt:lpwstr>Privileged</vt:lpwstr>
  </property>
  <property fmtid="{D5CDD505-2E9C-101B-9397-08002B2CF9AE}" pid="12" name="MSIP_Label_d86260be-c5d9-4247-b9a5-64fd759dd744_Name">
    <vt:lpwstr>Public</vt:lpwstr>
  </property>
  <property fmtid="{D5CDD505-2E9C-101B-9397-08002B2CF9AE}" pid="13" name="MSIP_Label_d86260be-c5d9-4247-b9a5-64fd759dd744_SiteId">
    <vt:lpwstr>d4c9706e-143f-4bfd-876b-b25d18e0287e</vt:lpwstr>
  </property>
  <property fmtid="{D5CDD505-2E9C-101B-9397-08002B2CF9AE}" pid="14" name="MSIP_Label_d86260be-c5d9-4247-b9a5-64fd759dd744_ActionId">
    <vt:lpwstr>0b17f87b-6e7e-4553-9fe2-06d253f56d8a</vt:lpwstr>
  </property>
  <property fmtid="{D5CDD505-2E9C-101B-9397-08002B2CF9AE}" pid="15" name="MSIP_Label_d86260be-c5d9-4247-b9a5-64fd759dd744_ContentBits">
    <vt:lpwstr>2</vt:lpwstr>
  </property>
  <property fmtid="{D5CDD505-2E9C-101B-9397-08002B2CF9AE}" pid="16" name="ContentTypeId">
    <vt:lpwstr>0x01010043CAA4299EA94E49BFA8A00ADFEC4334</vt:lpwstr>
  </property>
</Properties>
</file>